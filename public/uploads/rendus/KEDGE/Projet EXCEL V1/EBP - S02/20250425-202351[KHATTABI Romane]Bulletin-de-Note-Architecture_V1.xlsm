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iche\Documents\2025\"/>
    </mc:Choice>
  </mc:AlternateContent>
  <bookViews>
    <workbookView xWindow="-90" yWindow="-90" windowWidth="9690" windowHeight="3390"/>
  </bookViews>
  <sheets>
    <sheet name="Bulletin" sheetId="1" r:id="rId1"/>
    <sheet name="Eleves" sheetId="2" r:id="rId2"/>
    <sheet name="Matieres" sheetId="4" r:id="rId3"/>
    <sheet name="Coefficients" sheetId="3" r:id="rId4"/>
  </sheets>
  <definedNames>
    <definedName name="codeEleve">#REF!</definedName>
    <definedName name="CodeMatiere">#REF!</definedName>
    <definedName name="TypeEval">#REF!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0" i="1" l="1"/>
  <c r="G10" i="1"/>
  <c r="G12" i="1"/>
  <c r="G13" i="1"/>
  <c r="B3" i="2"/>
  <c r="B4" i="2"/>
  <c r="B5" i="2"/>
  <c r="B6" i="2"/>
  <c r="B2" i="2"/>
  <c r="G11" i="1" l="1"/>
  <c r="H23" i="1"/>
  <c r="H24" i="1"/>
  <c r="H25" i="1"/>
  <c r="H26" i="1"/>
  <c r="H27" i="1"/>
  <c r="H28" i="1"/>
  <c r="H29" i="1"/>
  <c r="H30" i="1"/>
  <c r="H22" i="1"/>
  <c r="C24" i="1"/>
  <c r="D24" i="1" s="1"/>
  <c r="C25" i="1"/>
  <c r="D25" i="1" s="1"/>
  <c r="C26" i="1"/>
  <c r="D26" i="1" s="1"/>
  <c r="C27" i="1"/>
  <c r="D27" i="1" s="1"/>
  <c r="C28" i="1"/>
  <c r="D28" i="1" s="1"/>
  <c r="C29" i="1"/>
  <c r="D29" i="1" s="1"/>
  <c r="C30" i="1"/>
  <c r="D30" i="1" s="1"/>
  <c r="C22" i="1"/>
  <c r="D22" i="1" s="1"/>
  <c r="C23" i="1"/>
  <c r="D23" i="1" s="1"/>
  <c r="H32" i="1" l="1"/>
  <c r="E36" i="1" s="1"/>
  <c r="E11" i="2"/>
</calcChain>
</file>

<file path=xl/sharedStrings.xml><?xml version="1.0" encoding="utf-8"?>
<sst xmlns="http://schemas.openxmlformats.org/spreadsheetml/2006/main" count="70" uniqueCount="62">
  <si>
    <t>KEDGE BUSINESS SCHOOL</t>
  </si>
  <si>
    <t>386 Avenue de la libération</t>
  </si>
  <si>
    <t>33400   TALENCE</t>
  </si>
  <si>
    <t>Code Elève</t>
  </si>
  <si>
    <t>Nom</t>
  </si>
  <si>
    <t>Prénom</t>
  </si>
  <si>
    <t>Code Matière</t>
  </si>
  <si>
    <t>Libellé</t>
  </si>
  <si>
    <t>SUIVI</t>
  </si>
  <si>
    <t>CC</t>
  </si>
  <si>
    <t>MOYENNE</t>
  </si>
  <si>
    <t>Mgt Projet</t>
  </si>
  <si>
    <t>MIS</t>
  </si>
  <si>
    <t>LV1</t>
  </si>
  <si>
    <t>LV2</t>
  </si>
  <si>
    <t>QM 2</t>
  </si>
  <si>
    <t>ECO 2</t>
  </si>
  <si>
    <t>TAT</t>
  </si>
  <si>
    <t>MKG OP</t>
  </si>
  <si>
    <t>Ana et Maths Fi</t>
  </si>
  <si>
    <t>MOYENNE GENERALE</t>
  </si>
  <si>
    <t>Les cases jaunes doivent recevoir des formules de calcul ou de recherche</t>
  </si>
  <si>
    <t>Adresse</t>
  </si>
  <si>
    <t>Cp</t>
  </si>
  <si>
    <t>Ville</t>
  </si>
  <si>
    <t>Coefficient</t>
  </si>
  <si>
    <t>Type devoir</t>
  </si>
  <si>
    <t>Vous devez remplir vos différents fichiers suivant la consigne du cas (en prenant 5 élèves de votre section et terminer le remplissage des autres fichiers</t>
  </si>
  <si>
    <t>Sexe</t>
  </si>
  <si>
    <t>EXAM</t>
  </si>
  <si>
    <t>DECISION DU JURY</t>
  </si>
  <si>
    <t>Date de naissance</t>
  </si>
  <si>
    <t>Coeff Matière</t>
  </si>
  <si>
    <t>Libellé Matière</t>
  </si>
  <si>
    <t>Les cases oranges ne doivent autoriser que certaines valeurs</t>
  </si>
  <si>
    <t>Les cases bleues seront saisies dans la première version et automatisées (formule) dans la seconde</t>
  </si>
  <si>
    <t>Cet onglet vous donne l'architecture de votre bulletin de notes</t>
  </si>
  <si>
    <t>Pour les notes vous saisirez une valeur comprise entre 0 et 20 uniquement</t>
  </si>
  <si>
    <t>DUCK</t>
  </si>
  <si>
    <t>Donald</t>
  </si>
  <si>
    <t>M</t>
  </si>
  <si>
    <t>Rue de la coline</t>
  </si>
  <si>
    <t>BAYONNE</t>
  </si>
  <si>
    <t>PICSOU</t>
  </si>
  <si>
    <t>Balthazar</t>
  </si>
  <si>
    <t>En haut de la coline</t>
  </si>
  <si>
    <t>BONHEUR</t>
  </si>
  <si>
    <t>TICK</t>
  </si>
  <si>
    <t>TROUVETOU</t>
  </si>
  <si>
    <t>Gontran</t>
  </si>
  <si>
    <t>Miss</t>
  </si>
  <si>
    <t>Mme</t>
  </si>
  <si>
    <t>Géo</t>
  </si>
  <si>
    <t>Rue de la chance</t>
  </si>
  <si>
    <t>PESSAC</t>
  </si>
  <si>
    <t>Au bord du volcan</t>
  </si>
  <si>
    <t>LA ROCHELLE</t>
  </si>
  <si>
    <t>A l'atelier</t>
  </si>
  <si>
    <t>MERIGNAC</t>
  </si>
  <si>
    <t>EXAMEN</t>
  </si>
  <si>
    <t>Elève</t>
  </si>
  <si>
    <t>PICSOU Balthazar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</si>
</sst>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1">
    <xf numFmtId="0" fontId="0" fillId="0" borderId="0"/>
  </cellStyleXfs>
  <cellXfs count="38">
    <xf numFmtId="0" fontId="0" fillId="0" borderId="0" xfId="0"/>
    <xf numFmtId="0" fontId="0" fillId="0" borderId="2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2" borderId="7" xfId="0" applyFill="1" applyBorder="1"/>
    <xf numFmtId="0" fontId="0" fillId="2" borderId="1" xfId="0" applyFill="1" applyBorder="1"/>
    <xf numFmtId="0" fontId="0" fillId="0" borderId="0" xfId="0" applyFill="1" applyBorder="1"/>
    <xf numFmtId="0" fontId="2" fillId="0" borderId="1" xfId="0" applyFont="1" applyBorder="1"/>
    <xf numFmtId="0" fontId="3" fillId="0" borderId="0" xfId="0" applyFont="1"/>
    <xf numFmtId="0" fontId="0" fillId="0" borderId="0" xfId="0" applyBorder="1"/>
    <xf numFmtId="0" fontId="2" fillId="0" borderId="0" xfId="0" applyFont="1" applyBorder="1"/>
    <xf numFmtId="0" fontId="2" fillId="2" borderId="4" xfId="0" applyFont="1" applyFill="1" applyBorder="1"/>
    <xf numFmtId="0" fontId="3" fillId="2" borderId="1" xfId="0" applyFont="1" applyFill="1" applyBorder="1" applyAlignment="1">
      <alignment horizontal="center"/>
    </xf>
    <xf numFmtId="0" fontId="0" fillId="3" borderId="7" xfId="0" applyFill="1" applyBorder="1"/>
    <xf numFmtId="0" fontId="0" fillId="0" borderId="7" xfId="0" applyFill="1" applyBorder="1"/>
    <xf numFmtId="0" fontId="0" fillId="0" borderId="8" xfId="0" applyFill="1" applyBorder="1"/>
    <xf numFmtId="0" fontId="0" fillId="0" borderId="9" xfId="0" applyFill="1" applyBorder="1"/>
    <xf numFmtId="0" fontId="2" fillId="4" borderId="1" xfId="0" applyFont="1" applyFill="1" applyBorder="1"/>
    <xf numFmtId="14" fontId="0" fillId="0" borderId="7" xfId="0" applyNumberFormat="1" applyBorder="1"/>
    <xf numFmtId="14" fontId="0" fillId="0" borderId="8" xfId="0" applyNumberFormat="1" applyBorder="1"/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2" fillId="0" borderId="7" xfId="0" applyFont="1" applyBorder="1" applyAlignment="1">
      <alignment horizontal="center" vertical="top"/>
    </xf>
    <xf numFmtId="0" fontId="2" fillId="0" borderId="9" xfId="0" applyFont="1" applyBorder="1" applyAlignment="1">
      <alignment horizontal="center" vertical="top"/>
    </xf>
    <xf numFmtId="2" fontId="1" fillId="4" borderId="7" xfId="0" applyNumberFormat="1" applyFont="1" applyFill="1" applyBorder="1"/>
    <xf numFmtId="2" fontId="0" fillId="2" borderId="7" xfId="0" applyNumberFormat="1" applyFill="1" applyBorder="1"/>
    <xf numFmtId="2" fontId="0" fillId="2" borderId="1" xfId="0" applyNumberFormat="1" applyFill="1" applyBorder="1"/>
    <xf numFmtId="14" fontId="0" fillId="0" borderId="9" xfId="0" applyNumberFormat="1" applyBorder="1"/>
    <xf numFmtId="0" fontId="0" fillId="2" borderId="4" xfId="0" applyFill="1" applyBorder="1" applyAlignment="1"/>
    <xf numFmtId="0" fontId="0" fillId="2" borderId="5" xfId="0" applyFill="1" applyBorder="1" applyAlignment="1"/>
    <xf numFmtId="0" fontId="2" fillId="2" borderId="12" xfId="0" applyFont="1" applyFill="1" applyBorder="1" applyAlignment="1"/>
    <xf numFmtId="0" fontId="2" fillId="2" borderId="6" xfId="0" applyFont="1" applyFill="1" applyBorder="1" applyAlignment="1"/>
    <xf numFmtId="0" fontId="0" fillId="3" borderId="3" xfId="0" applyFill="1" applyBorder="1" applyAlignment="1"/>
    <xf numFmtId="0" fontId="2" fillId="2" borderId="5" xfId="0" applyFont="1" applyFill="1" applyBorder="1" applyAlignment="1"/>
    <xf numFmtId="0" fontId="2" fillId="2" borderId="5" xfId="0" applyFont="1" applyFill="1" applyBorder="1" applyAlignment="1"/>
    <xf numFmtId="0" fontId="2" fillId="2" borderId="4" xfId="0" applyFont="1" applyFill="1" applyBorder="1" applyAlignment="1"/>
  </cellXfs>
  <cellStyles count="1">
    <cellStyle name="Normal" xfId="0" builtinId="0"/>
  </cellStyles>
  <dxfs count="4">
    <dxf>
      <fill>
        <patternFill>
          <bgColor rgb="FF92D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50800</xdr:colOff>
      <xdr:row>0</xdr:row>
      <xdr:rowOff>0</xdr:rowOff>
    </xdr:from>
    <xdr:to>
      <xdr:col>3</xdr:col>
      <xdr:colOff>102235</xdr:colOff>
      <xdr:row>4</xdr:row>
      <xdr:rowOff>158962</xdr:rowOff>
    </xdr:to>
    <xdr:pic>
      <xdr:nvPicPr>
        <xdr:cNvPr id="2" name="Image 1">
          <a:extLst>
            <a:ext uri="{FF2B5EF4-FFF2-40B4-BE49-F238E27FC236}">
              <a16:creationId xmlns:a16="http://schemas.microsoft.com/office/drawing/2014/main" id="{0E58FA24-AD54-4809-BC98-DA026CEBFDD9}"/>
            </a:ext>
          </a:extLst>
        </xdr:cNvPr>
        <xdr:cNvPicPr/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0800" y="0"/>
          <a:ext cx="2007235" cy="887095"/>
        </a:xfrm>
        <a:prstGeom prst="rect">
          <a:avLst/>
        </a:prstGeom>
        <a:noFill/>
      </xdr:spPr>
    </xdr:pic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H45"/>
  <sheetViews>
    <sheetView showGridLines="0" tabSelected="1" topLeftCell="A4" zoomScale="115" zoomScaleNormal="115" workbookViewId="0">
      <selection activeCell="H19" sqref="H19"/>
    </sheetView>
  </sheetViews>
  <sheetFormatPr baseColWidth="10" defaultRowHeight="15" x14ac:dyDescent="0.25"/>
  <cols>
    <col min="1" max="1" width="2.5703125" customWidth="1"/>
    <col min="2" max="2" width="12.85546875" customWidth="1"/>
    <col min="3" max="3" width="11.5703125" customWidth="1"/>
    <col min="4" max="4" width="16.5703125" customWidth="1"/>
    <col min="8" max="8" width="22.28515625" customWidth="1"/>
  </cols>
  <sheetData>
    <row r="1" spans="2:8" x14ac:dyDescent="0.25">
      <c r="D1" s="10"/>
      <c r="E1" s="23"/>
      <c r="F1" s="23"/>
    </row>
    <row r="2" spans="2:8" x14ac:dyDescent="0.25">
      <c r="D2" s="10"/>
      <c r="E2" s="10"/>
      <c r="F2" s="10"/>
    </row>
    <row r="5" spans="2:8" x14ac:dyDescent="0.25">
      <c r="B5" s="7"/>
      <c r="C5" s="10"/>
    </row>
    <row r="6" spans="2:8" x14ac:dyDescent="0.25">
      <c r="B6" s="11" t="s">
        <v>0</v>
      </c>
      <c r="C6" s="10"/>
    </row>
    <row r="7" spans="2:8" x14ac:dyDescent="0.25">
      <c r="B7" s="10" t="s">
        <v>1</v>
      </c>
      <c r="C7" s="10"/>
    </row>
    <row r="8" spans="2:8" x14ac:dyDescent="0.25">
      <c r="B8" s="10" t="s">
        <v>2</v>
      </c>
      <c r="C8" s="10"/>
    </row>
    <row r="9" spans="2:8" x14ac:dyDescent="0.25">
      <c r="B9" s="10"/>
      <c r="C9" s="10"/>
      <c r="G9" s="1" t="s">
        <v>60</v>
      </c>
      <c r="H9" s="34" t="s">
        <v>61</v>
      </c>
    </row>
    <row r="10" spans="2:8" x14ac:dyDescent="0.25">
      <c r="B10" s="10"/>
      <c r="C10" s="10"/>
      <c r="G10" s="12" t="str">
        <f>IF($H$9&lt;&gt;"",VLOOKUP($H$9,Eleves!$B$2:$I$6,2,FALSE),"")</f>
        <v>PICSOU</v>
      </c>
      <c r="H10" s="36" t="str">
        <f>IF($H$9&lt;&gt;"",VLOOKUP($H$9,Eleves!$B$2:$I$6,3,FALSE),"")</f>
        <v>Balthazar</v>
      </c>
    </row>
    <row r="11" spans="2:8" x14ac:dyDescent="0.25">
      <c r="B11" s="10"/>
      <c r="C11" s="10"/>
      <c r="G11" s="37" t="str">
        <f>IF($H$9&lt;&gt;"",VLOOKUP($H$9,Eleves!$B$2:$I$6,6,FALSE),"")</f>
        <v>En haut de la coline</v>
      </c>
      <c r="H11" s="35"/>
    </row>
    <row r="12" spans="2:8" x14ac:dyDescent="0.25">
      <c r="B12" s="10"/>
      <c r="C12" s="10"/>
      <c r="G12" s="30" t="str">
        <f>IF($H$9&lt;&gt;"",CONCATENATE(VLOOKUP($H$9,Eleves!$B$2:$I$6,7,FALSE)," ",VLOOKUP($H$9,Eleves!$B$2:$I$6,8,FALSE)),"")</f>
        <v>64120 BAYONNE</v>
      </c>
      <c r="H12" s="31"/>
    </row>
    <row r="13" spans="2:8" x14ac:dyDescent="0.25">
      <c r="B13" s="10"/>
      <c r="C13" s="10"/>
      <c r="G13" s="32" t="str">
        <f ca="1">IF($H$9&lt;&gt;"",CONCATENATE(DATEDIF(VLOOKUP($H$9,Eleves!$B$2:$I$6,5,FALSE), TODAY(), "y"), " ans"),"")</f>
        <v>93 ans</v>
      </c>
      <c r="H13" s="33"/>
    </row>
    <row r="14" spans="2:8" x14ac:dyDescent="0.25">
      <c r="B14" s="10"/>
      <c r="C14" s="10"/>
    </row>
    <row r="15" spans="2:8" x14ac:dyDescent="0.25">
      <c r="B15" s="10"/>
      <c r="C15" s="10"/>
    </row>
    <row r="16" spans="2:8" x14ac:dyDescent="0.25">
      <c r="B16" s="10"/>
      <c r="C16" s="10"/>
    </row>
    <row r="17" spans="2:8" x14ac:dyDescent="0.25">
      <c r="B17" s="10"/>
      <c r="C17" s="10"/>
    </row>
    <row r="20" spans="2:8" x14ac:dyDescent="0.25">
      <c r="E20" s="8" t="s">
        <v>8</v>
      </c>
      <c r="F20" s="8" t="s">
        <v>9</v>
      </c>
      <c r="G20" s="8" t="s">
        <v>59</v>
      </c>
      <c r="H20" s="24" t="s">
        <v>10</v>
      </c>
    </row>
    <row r="21" spans="2:8" x14ac:dyDescent="0.25">
      <c r="B21" s="8" t="s">
        <v>6</v>
      </c>
      <c r="C21" s="8" t="s">
        <v>32</v>
      </c>
      <c r="D21" s="8" t="s">
        <v>33</v>
      </c>
      <c r="E21" s="13">
        <v>1</v>
      </c>
      <c r="F21" s="13">
        <v>2</v>
      </c>
      <c r="G21" s="13">
        <v>3</v>
      </c>
      <c r="H21" s="25"/>
    </row>
    <row r="22" spans="2:8" x14ac:dyDescent="0.25">
      <c r="B22" s="14"/>
      <c r="C22" s="5" t="str">
        <f>IF(B22&lt;&gt;"",VLOOKUP($B22,Matieres!$A$2:$C$10,3,FALSE),"")</f>
        <v/>
      </c>
      <c r="D22" s="5" t="str">
        <f>IF(C22&lt;&gt;"",VLOOKUP($B22,Matieres!$A$2:$C$10,2,FALSE),"")</f>
        <v/>
      </c>
      <c r="E22" s="26"/>
      <c r="F22" s="26"/>
      <c r="G22" s="26"/>
      <c r="H22" s="27" t="str">
        <f>IF(AND(B22&lt;&gt;"",CONCATENATE(E22,F22,G22)&lt;&gt;""),SUMPRODUCT($E$21:$G$21,E22:G22)/SUM($E$21:$G$21),"")</f>
        <v/>
      </c>
    </row>
    <row r="23" spans="2:8" x14ac:dyDescent="0.25">
      <c r="B23" s="14"/>
      <c r="C23" s="5" t="str">
        <f>IF(B23&lt;&gt;"",VLOOKUP($B23,Matieres!$A$2:$C$10,3,FALSE),"")</f>
        <v/>
      </c>
      <c r="D23" s="5" t="str">
        <f>IF(C23&lt;&gt;"",VLOOKUP($B23,Matieres!$A$2:$C$10,2,FALSE),"")</f>
        <v/>
      </c>
      <c r="E23" s="26"/>
      <c r="F23" s="26"/>
      <c r="G23" s="26"/>
      <c r="H23" s="27" t="str">
        <f t="shared" ref="H23:H30" si="0">IF(AND(B23&lt;&gt;"",CONCATENATE(E23,F23,G23)&lt;&gt;""),SUMPRODUCT($E$21:$G$21,E23:G23)/SUM($E$21:$G$21),"")</f>
        <v/>
      </c>
    </row>
    <row r="24" spans="2:8" x14ac:dyDescent="0.25">
      <c r="B24" s="14"/>
      <c r="C24" s="5" t="str">
        <f>IF(B24&lt;&gt;"",VLOOKUP($B24,Matieres!$A$2:$C$10,3,FALSE),"")</f>
        <v/>
      </c>
      <c r="D24" s="5" t="str">
        <f>IF(C24&lt;&gt;"",VLOOKUP($B24,Matieres!$A$2:$C$10,2,FALSE),"")</f>
        <v/>
      </c>
      <c r="E24" s="26"/>
      <c r="F24" s="26"/>
      <c r="G24" s="26"/>
      <c r="H24" s="27" t="str">
        <f t="shared" si="0"/>
        <v/>
      </c>
    </row>
    <row r="25" spans="2:8" x14ac:dyDescent="0.25">
      <c r="B25" s="14"/>
      <c r="C25" s="5" t="str">
        <f>IF(B25&lt;&gt;"",VLOOKUP($B25,Matieres!$A$2:$C$10,3,FALSE),"")</f>
        <v/>
      </c>
      <c r="D25" s="5" t="str">
        <f>IF(C25&lt;&gt;"",VLOOKUP($B25,Matieres!$A$2:$C$10,2,FALSE),"")</f>
        <v/>
      </c>
      <c r="E25" s="26"/>
      <c r="F25" s="26"/>
      <c r="G25" s="26"/>
      <c r="H25" s="27" t="str">
        <f t="shared" si="0"/>
        <v/>
      </c>
    </row>
    <row r="26" spans="2:8" x14ac:dyDescent="0.25">
      <c r="B26" s="14"/>
      <c r="C26" s="5" t="str">
        <f>IF(B26&lt;&gt;"",VLOOKUP($B26,Matieres!$A$2:$C$10,3,FALSE),"")</f>
        <v/>
      </c>
      <c r="D26" s="5" t="str">
        <f>IF(C26&lt;&gt;"",VLOOKUP($B26,Matieres!$A$2:$C$10,2,FALSE),"")</f>
        <v/>
      </c>
      <c r="E26" s="26"/>
      <c r="F26" s="26"/>
      <c r="G26" s="26"/>
      <c r="H26" s="27" t="str">
        <f t="shared" si="0"/>
        <v/>
      </c>
    </row>
    <row r="27" spans="2:8" x14ac:dyDescent="0.25">
      <c r="B27" s="14"/>
      <c r="C27" s="5" t="str">
        <f>IF(B27&lt;&gt;"",VLOOKUP($B27,Matieres!$A$2:$C$10,3,FALSE),"")</f>
        <v/>
      </c>
      <c r="D27" s="5" t="str">
        <f>IF(C27&lt;&gt;"",VLOOKUP($B27,Matieres!$A$2:$C$10,2,FALSE),"")</f>
        <v/>
      </c>
      <c r="E27" s="26"/>
      <c r="F27" s="26"/>
      <c r="G27" s="26"/>
      <c r="H27" s="27" t="str">
        <f t="shared" si="0"/>
        <v/>
      </c>
    </row>
    <row r="28" spans="2:8" x14ac:dyDescent="0.25">
      <c r="B28" s="14"/>
      <c r="C28" s="5" t="str">
        <f>IF(B28&lt;&gt;"",VLOOKUP($B28,Matieres!$A$2:$C$10,3,FALSE),"")</f>
        <v/>
      </c>
      <c r="D28" s="5" t="str">
        <f>IF(C28&lt;&gt;"",VLOOKUP($B28,Matieres!$A$2:$C$10,2,FALSE),"")</f>
        <v/>
      </c>
      <c r="E28" s="26"/>
      <c r="F28" s="26"/>
      <c r="G28" s="26"/>
      <c r="H28" s="27" t="str">
        <f t="shared" si="0"/>
        <v/>
      </c>
    </row>
    <row r="29" spans="2:8" x14ac:dyDescent="0.25">
      <c r="B29" s="14"/>
      <c r="C29" s="5" t="str">
        <f>IF(B29&lt;&gt;"",VLOOKUP($B29,Matieres!$A$2:$C$10,3,FALSE),"")</f>
        <v/>
      </c>
      <c r="D29" s="5" t="str">
        <f>IF(C29&lt;&gt;"",VLOOKUP($B29,Matieres!$A$2:$C$10,2,FALSE),"")</f>
        <v/>
      </c>
      <c r="E29" s="26"/>
      <c r="F29" s="26"/>
      <c r="G29" s="26"/>
      <c r="H29" s="27" t="str">
        <f t="shared" si="0"/>
        <v/>
      </c>
    </row>
    <row r="30" spans="2:8" x14ac:dyDescent="0.25">
      <c r="B30" s="14"/>
      <c r="C30" s="5" t="str">
        <f>IF(B30&lt;&gt;"",VLOOKUP($B30,Matieres!$A$2:$C$10,3,FALSE),"")</f>
        <v/>
      </c>
      <c r="D30" s="5" t="str">
        <f>IF(C30&lt;&gt;"",VLOOKUP($B30,Matieres!$A$2:$C$10,2,FALSE),"")</f>
        <v/>
      </c>
      <c r="E30" s="26"/>
      <c r="F30" s="26"/>
      <c r="G30" s="26"/>
      <c r="H30" s="27" t="str">
        <f t="shared" si="0"/>
        <v/>
      </c>
    </row>
    <row r="32" spans="2:8" x14ac:dyDescent="0.25">
      <c r="F32" s="21" t="s">
        <v>20</v>
      </c>
      <c r="G32" s="22"/>
      <c r="H32" s="28" t="str">
        <f>IFERROR(SUMPRODUCT(C22:C30,H22:H30)/SUM(C22:C30), "")</f>
        <v/>
      </c>
    </row>
    <row r="36" spans="1:5" x14ac:dyDescent="0.25">
      <c r="C36" s="21" t="s">
        <v>30</v>
      </c>
      <c r="D36" s="22"/>
      <c r="E36" s="6" t="str">
        <f>IF(H9="","",IF(H32&lt;&gt;"",IF(H32&gt;=10,"Admis",IF(AND(H32&gt;=9,H32&lt;10),"Rattrapage","Ajourné")),""))</f>
        <v/>
      </c>
    </row>
    <row r="39" spans="1:5" x14ac:dyDescent="0.25">
      <c r="B39" s="9" t="s">
        <v>36</v>
      </c>
    </row>
    <row r="41" spans="1:5" x14ac:dyDescent="0.25">
      <c r="B41" s="9" t="s">
        <v>21</v>
      </c>
    </row>
    <row r="42" spans="1:5" x14ac:dyDescent="0.25">
      <c r="A42" s="9"/>
      <c r="B42" s="9" t="s">
        <v>34</v>
      </c>
    </row>
    <row r="43" spans="1:5" x14ac:dyDescent="0.25">
      <c r="A43" s="9"/>
      <c r="B43" s="9" t="s">
        <v>35</v>
      </c>
    </row>
    <row r="44" spans="1:5" x14ac:dyDescent="0.25">
      <c r="B44" s="9"/>
    </row>
    <row r="45" spans="1:5" x14ac:dyDescent="0.25">
      <c r="B45" s="9" t="s">
        <v>37</v>
      </c>
    </row>
  </sheetData>
  <mergeCells count="7">
    <mergeCell ref="F32:G32"/>
    <mergeCell ref="C36:D36"/>
    <mergeCell ref="E1:F1"/>
    <mergeCell ref="H20:H21"/>
    <mergeCell ref="G12:H12"/>
    <mergeCell ref="G13:H13"/>
    <mergeCell ref="G11:H11"/>
  </mergeCells>
  <conditionalFormatting sqref="E36">
    <cfRule type="expression" dxfId="3" priority="1" stopIfTrue="1">
      <formula>$H$9=""</formula>
    </cfRule>
    <cfRule type="expression" dxfId="2" priority="2">
      <formula>$H$32&lt;9</formula>
    </cfRule>
    <cfRule type="expression" dxfId="1" priority="3">
      <formula>AND($H$32&gt;=9,$H$32&lt;10)</formula>
    </cfRule>
    <cfRule type="expression" dxfId="0" priority="4">
      <formula>$H$32&gt;=10</formula>
    </cfRule>
  </conditionalFormatting>
  <dataValidations count="1">
    <dataValidation type="whole" allowBlank="1" showInputMessage="1" showErrorMessage="1" sqref="E22:G30">
      <formula1>0</formula1>
      <formula2>20</formula2>
    </dataValidation>
  </dataValidations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&amp;C&amp;"-,Gras"&amp;18BULLETIN DE NOTE</oddHead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Eleves!$B$2:$B$6</xm:f>
          </x14:formula1>
          <xm:sqref>H9</xm:sqref>
        </x14:dataValidation>
        <x14:dataValidation type="list" allowBlank="1" showInputMessage="1" showErrorMessage="1">
          <x14:formula1>
            <xm:f>Matieres!$A$2:$A$10</xm:f>
          </x14:formula1>
          <xm:sqref>B22:B30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I11"/>
  <sheetViews>
    <sheetView zoomScale="130" zoomScaleNormal="130" workbookViewId="0">
      <selection activeCell="B10" sqref="B10"/>
    </sheetView>
  </sheetViews>
  <sheetFormatPr baseColWidth="10" defaultRowHeight="15" x14ac:dyDescent="0.25"/>
  <cols>
    <col min="1" max="1" width="12.140625" bestFit="1" customWidth="1"/>
    <col min="2" max="2" width="12.140625" customWidth="1"/>
    <col min="6" max="6" width="15.28515625" bestFit="1" customWidth="1"/>
    <col min="7" max="7" width="20.28515625" customWidth="1"/>
    <col min="9" max="9" width="12.28515625" bestFit="1" customWidth="1"/>
  </cols>
  <sheetData>
    <row r="1" spans="1:9" x14ac:dyDescent="0.25">
      <c r="A1" s="18" t="s">
        <v>3</v>
      </c>
      <c r="B1" s="18"/>
      <c r="C1" s="18" t="s">
        <v>4</v>
      </c>
      <c r="D1" s="18" t="s">
        <v>5</v>
      </c>
      <c r="E1" s="18" t="s">
        <v>28</v>
      </c>
      <c r="F1" s="18" t="s">
        <v>31</v>
      </c>
      <c r="G1" s="18" t="s">
        <v>22</v>
      </c>
      <c r="H1" s="18" t="s">
        <v>23</v>
      </c>
      <c r="I1" s="18" t="s">
        <v>24</v>
      </c>
    </row>
    <row r="2" spans="1:9" x14ac:dyDescent="0.25">
      <c r="A2" s="2">
        <v>1</v>
      </c>
      <c r="B2" s="2" t="str">
        <f>CONCATENATE(C2," ",D2)</f>
        <v>DUCK Donald</v>
      </c>
      <c r="C2" s="2" t="s">
        <v>38</v>
      </c>
      <c r="D2" s="2" t="s">
        <v>39</v>
      </c>
      <c r="E2" s="2" t="s">
        <v>40</v>
      </c>
      <c r="F2" s="19">
        <v>29031</v>
      </c>
      <c r="G2" s="2" t="s">
        <v>41</v>
      </c>
      <c r="H2" s="2">
        <v>64150</v>
      </c>
      <c r="I2" s="2" t="s">
        <v>42</v>
      </c>
    </row>
    <row r="3" spans="1:9" x14ac:dyDescent="0.25">
      <c r="A3" s="3">
        <v>2</v>
      </c>
      <c r="B3" s="2" t="str">
        <f t="shared" ref="B3:B6" si="0">CONCATENATE(C3," ",D3)</f>
        <v>PICSOU Balthazar</v>
      </c>
      <c r="C3" s="3" t="s">
        <v>43</v>
      </c>
      <c r="D3" s="3" t="s">
        <v>44</v>
      </c>
      <c r="E3" s="3" t="s">
        <v>40</v>
      </c>
      <c r="F3" s="20">
        <v>11428</v>
      </c>
      <c r="G3" s="3" t="s">
        <v>45</v>
      </c>
      <c r="H3" s="3">
        <v>64120</v>
      </c>
      <c r="I3" s="3" t="s">
        <v>42</v>
      </c>
    </row>
    <row r="4" spans="1:9" x14ac:dyDescent="0.25">
      <c r="A4" s="3">
        <v>3</v>
      </c>
      <c r="B4" s="2" t="str">
        <f t="shared" si="0"/>
        <v>BONHEUR Gontran</v>
      </c>
      <c r="C4" s="3" t="s">
        <v>46</v>
      </c>
      <c r="D4" s="3" t="s">
        <v>49</v>
      </c>
      <c r="E4" s="3" t="s">
        <v>40</v>
      </c>
      <c r="F4" s="20">
        <v>31455</v>
      </c>
      <c r="G4" s="3" t="s">
        <v>53</v>
      </c>
      <c r="H4" s="3">
        <v>33600</v>
      </c>
      <c r="I4" s="3" t="s">
        <v>54</v>
      </c>
    </row>
    <row r="5" spans="1:9" x14ac:dyDescent="0.25">
      <c r="A5" s="3">
        <v>4</v>
      </c>
      <c r="B5" s="2" t="str">
        <f t="shared" si="0"/>
        <v>TICK Miss</v>
      </c>
      <c r="C5" s="3" t="s">
        <v>47</v>
      </c>
      <c r="D5" s="3" t="s">
        <v>50</v>
      </c>
      <c r="E5" s="3" t="s">
        <v>51</v>
      </c>
      <c r="F5" s="20">
        <v>1619</v>
      </c>
      <c r="G5" s="3" t="s">
        <v>55</v>
      </c>
      <c r="H5" s="3">
        <v>17150</v>
      </c>
      <c r="I5" s="3" t="s">
        <v>56</v>
      </c>
    </row>
    <row r="6" spans="1:9" x14ac:dyDescent="0.25">
      <c r="A6" s="4">
        <v>5</v>
      </c>
      <c r="B6" s="2" t="str">
        <f t="shared" si="0"/>
        <v>TROUVETOU Géo</v>
      </c>
      <c r="C6" s="4" t="s">
        <v>48</v>
      </c>
      <c r="D6" s="4" t="s">
        <v>52</v>
      </c>
      <c r="E6" s="4" t="s">
        <v>40</v>
      </c>
      <c r="F6" s="29">
        <v>30786</v>
      </c>
      <c r="G6" s="4" t="s">
        <v>57</v>
      </c>
      <c r="H6" s="4">
        <v>33700</v>
      </c>
      <c r="I6" s="4" t="s">
        <v>58</v>
      </c>
    </row>
    <row r="8" spans="1:9" x14ac:dyDescent="0.25">
      <c r="A8" s="9" t="s">
        <v>27</v>
      </c>
      <c r="B8" s="9"/>
    </row>
    <row r="11" spans="1:9" x14ac:dyDescent="0.25">
      <c r="E11">
        <f ca="1">DATEDIF(F2,TODAY(),"y")</f>
        <v>45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C12"/>
  <sheetViews>
    <sheetView workbookViewId="0">
      <selection activeCell="C1" sqref="A1:C1"/>
    </sheetView>
  </sheetViews>
  <sheetFormatPr baseColWidth="10" defaultRowHeight="15" x14ac:dyDescent="0.25"/>
  <cols>
    <col min="1" max="1" width="11.7109375" bestFit="1" customWidth="1"/>
    <col min="2" max="2" width="13" bestFit="1" customWidth="1"/>
  </cols>
  <sheetData>
    <row r="1" spans="1:3" x14ac:dyDescent="0.25">
      <c r="A1" s="18" t="s">
        <v>6</v>
      </c>
      <c r="B1" s="18" t="s">
        <v>7</v>
      </c>
      <c r="C1" s="18" t="s">
        <v>25</v>
      </c>
    </row>
    <row r="2" spans="1:3" x14ac:dyDescent="0.25">
      <c r="A2" s="2">
        <v>1</v>
      </c>
      <c r="B2" s="15" t="s">
        <v>15</v>
      </c>
      <c r="C2" s="15">
        <v>2</v>
      </c>
    </row>
    <row r="3" spans="1:3" x14ac:dyDescent="0.25">
      <c r="A3" s="3">
        <v>2</v>
      </c>
      <c r="B3" s="16" t="s">
        <v>18</v>
      </c>
      <c r="C3" s="16">
        <v>3</v>
      </c>
    </row>
    <row r="4" spans="1:3" x14ac:dyDescent="0.25">
      <c r="A4" s="3">
        <v>3</v>
      </c>
      <c r="B4" s="16" t="s">
        <v>16</v>
      </c>
      <c r="C4" s="16">
        <v>3</v>
      </c>
    </row>
    <row r="5" spans="1:3" x14ac:dyDescent="0.25">
      <c r="A5" s="3">
        <v>4</v>
      </c>
      <c r="B5" s="16" t="s">
        <v>17</v>
      </c>
      <c r="C5" s="16">
        <v>2</v>
      </c>
    </row>
    <row r="6" spans="1:3" x14ac:dyDescent="0.25">
      <c r="A6" s="3">
        <v>5</v>
      </c>
      <c r="B6" s="16" t="s">
        <v>11</v>
      </c>
      <c r="C6" s="16">
        <v>2</v>
      </c>
    </row>
    <row r="7" spans="1:3" x14ac:dyDescent="0.25">
      <c r="A7" s="3">
        <v>6</v>
      </c>
      <c r="B7" s="16" t="s">
        <v>12</v>
      </c>
      <c r="C7" s="16">
        <v>2</v>
      </c>
    </row>
    <row r="8" spans="1:3" x14ac:dyDescent="0.25">
      <c r="A8" s="3">
        <v>7</v>
      </c>
      <c r="B8" s="16" t="s">
        <v>19</v>
      </c>
      <c r="C8" s="16">
        <v>3</v>
      </c>
    </row>
    <row r="9" spans="1:3" x14ac:dyDescent="0.25">
      <c r="A9" s="3">
        <v>8</v>
      </c>
      <c r="B9" s="16" t="s">
        <v>13</v>
      </c>
      <c r="C9" s="16">
        <v>2</v>
      </c>
    </row>
    <row r="10" spans="1:3" x14ac:dyDescent="0.25">
      <c r="A10" s="4">
        <v>9</v>
      </c>
      <c r="B10" s="17" t="s">
        <v>14</v>
      </c>
      <c r="C10" s="17">
        <v>2</v>
      </c>
    </row>
    <row r="12" spans="1:3" x14ac:dyDescent="0.25">
      <c r="A12" s="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B4"/>
  <sheetViews>
    <sheetView workbookViewId="0">
      <selection activeCell="B1" sqref="A1:B1"/>
    </sheetView>
  </sheetViews>
  <sheetFormatPr baseColWidth="10" defaultRowHeight="15" x14ac:dyDescent="0.25"/>
  <sheetData>
    <row r="1" spans="1:2" x14ac:dyDescent="0.25">
      <c r="A1" s="18" t="s">
        <v>26</v>
      </c>
      <c r="B1" s="18" t="s">
        <v>25</v>
      </c>
    </row>
    <row r="2" spans="1:2" x14ac:dyDescent="0.25">
      <c r="A2" s="2" t="s">
        <v>8</v>
      </c>
      <c r="B2" s="2">
        <v>1</v>
      </c>
    </row>
    <row r="3" spans="1:2" x14ac:dyDescent="0.25">
      <c r="A3" s="3" t="s">
        <v>9</v>
      </c>
      <c r="B3" s="3">
        <v>2</v>
      </c>
    </row>
    <row r="4" spans="1:2" x14ac:dyDescent="0.25">
      <c r="A4" s="4" t="s">
        <v>29</v>
      </c>
      <c r="B4" s="4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Bulletin</vt:lpstr>
      <vt:lpstr>Eleves</vt:lpstr>
      <vt:lpstr>Matieres</vt:lpstr>
      <vt:lpstr>Coefficients</vt:lpstr>
    </vt:vector>
  </TitlesOfParts>
  <Company>Kegde Business School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Sefiani Said</dc:creator>
  <cp:lastModifiedBy>Michel</cp:lastModifiedBy>
  <cp:lastPrinted>2021-02-07T14:02:31Z</cp:lastPrinted>
  <dcterms:created xsi:type="dcterms:W3CDTF">2020-03-23T09:44:11Z</dcterms:created>
  <dcterms:modified xsi:type="dcterms:W3CDTF">2025-03-05T13:44:06Z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5fbabeba-44a0-400d-a423-d1c611d11c91</vt:lpwstr>
  </property>
</Properties>
</file>